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46643dfd610d6ed2/Desktop/"/>
    </mc:Choice>
  </mc:AlternateContent>
  <xr:revisionPtr revIDLastSave="0" documentId="8_{6FF89DED-EFCE-4430-9687-20CB01185882}" xr6:coauthVersionLast="47" xr6:coauthVersionMax="47" xr10:uidLastSave="{00000000-0000-0000-0000-000000000000}"/>
  <bookViews>
    <workbookView xWindow="-108" yWindow="-108" windowWidth="23256" windowHeight="12456" activeTab="2" xr2:uid="{CDD14BDA-3453-424A-BD25-1F7FC109BE82}"/>
  </bookViews>
  <sheets>
    <sheet name="Question1" sheetId="1" r:id="rId1"/>
    <sheet name="Question 2" sheetId="2" r:id="rId2"/>
    <sheet name="Question3 " sheetId="3" r:id="rId3"/>
    <sheet name="Question4" sheetId="4" r:id="rId4"/>
    <sheet name="Question5" sheetId="8" r:id="rId5"/>
    <sheet name="Question6" sheetId="6" r:id="rId6"/>
    <sheet name="Question7" sheetId="7" r:id="rId7"/>
    <sheet name="Question8" sheetId="9" r:id="rId8"/>
  </sheets>
  <definedNames>
    <definedName name="_xlnm._FilterDatabase" localSheetId="0" hidden="1">Question1!$A$28:$A$47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7" l="1"/>
  <c r="B12" i="9"/>
  <c r="B15" i="9"/>
  <c r="B7" i="9"/>
  <c r="E20" i="7"/>
  <c r="E19" i="7"/>
  <c r="E18" i="7"/>
  <c r="E17" i="7"/>
  <c r="B7" i="7"/>
  <c r="B4" i="7"/>
  <c r="B10" i="7"/>
  <c r="C9" i="3"/>
  <c r="C8" i="3"/>
  <c r="C7" i="3"/>
  <c r="C6" i="3"/>
  <c r="C5" i="3"/>
  <c r="A8" i="6"/>
  <c r="A20" i="6"/>
  <c r="A16" i="6"/>
  <c r="A12" i="6"/>
  <c r="A4" i="6"/>
</calcChain>
</file>

<file path=xl/sharedStrings.xml><?xml version="1.0" encoding="utf-8"?>
<sst xmlns="http://schemas.openxmlformats.org/spreadsheetml/2006/main" count="238" uniqueCount="156">
  <si>
    <t>1. What is data cleaning, and why is it important in data analysis?</t>
  </si>
  <si>
    <r>
      <t xml:space="preserve"> ans--&gt; Data cleaning: </t>
    </r>
    <r>
      <rPr>
        <sz val="11"/>
        <color rgb="FF0070C0"/>
        <rFont val="Calibri"/>
        <family val="2"/>
        <scheme val="minor"/>
      </rPr>
      <t>Data cleaning, also known as data cleansing or data scrubbing,  is the process of identifying and correcting errors, inconsistencies, and inaccuracies in a dataset to improve its quality and reliability. This step is crucial in data analysis because it ensures that the data is accurate, complete, and consistent, which is essential for making informed decisions.</t>
    </r>
  </si>
  <si>
    <t>Importance of Data Cleaning</t>
  </si>
  <si>
    <t>1. Improved Accuracy: Clean data leads to more accurate analysis and insights.</t>
  </si>
  <si>
    <t>2. Enhanced Reliability: Ensures data is trustworthy for decision-making.</t>
  </si>
  <si>
    <t>3. Efficient Analysis: Reduces time spent on data preparation and analysis.</t>
  </si>
  <si>
    <t>4. Better Decision-Making: Reliable data supports informed business decisions.</t>
  </si>
  <si>
    <t>5. Reduced Errors: Minimizes errors and biases in analysis results.</t>
  </si>
  <si>
    <t>What are the potential consequences of analyzing unclean or messy data?</t>
  </si>
  <si>
    <t>Analyzing unclean or messy data can have significant consequences, including:</t>
  </si>
  <si>
    <t>Potential Consequences</t>
  </si>
  <si>
    <t>1. Inaccurate Insights: Flawed analysis leads to incorrect conclusions and decisions.</t>
  </si>
  <si>
    <t>2. Poor Decision-Making: Decisions based on faulty data can result in financial losses, missed opportunities, or strategic errors.</t>
  </si>
  <si>
    <t>3. Wasted Resources: Time and resources spent on analysis are wasted if data is unreliable.</t>
  </si>
  <si>
    <t>4. Loss of Credibility: Stakeholders may question the validity of results, damaging reputation.</t>
  </si>
  <si>
    <t>5. Missed Opportunities: Inaccurate analysis might cause missed business opportunities or failure to identify trends.</t>
  </si>
  <si>
    <t>6. Increased Costs: Errors might lead to additional costs for correcting mistakes or redoing analysis.</t>
  </si>
  <si>
    <t>7. Biased Results: Messy data can introduce biases, skewing results and leading to flawed strategies.</t>
  </si>
  <si>
    <t>8. Inefficient Processes: Unclean data can slow down processes and hinder productivity.</t>
  </si>
  <si>
    <t>Examples</t>
  </si>
  <si>
    <t>1. Financial Analysis: Incorrect financial data can lead to poor investment decisions.</t>
  </si>
  <si>
    <t>2. Customer Insights: Flawed customer data might result in ineffective marketing strategies.</t>
  </si>
  <si>
    <t>3. Healthcare Analysis: Inaccurate patient data can impact treatment decisions and outcomes.</t>
  </si>
  <si>
    <t>Explain the common steps involved in cleaning and organizing data.</t>
  </si>
  <si>
    <t>Common Steps in Cleaning and Organizing Data</t>
  </si>
  <si>
    <t>1. Identify and Handle Missing Values</t>
  </si>
  <si>
    <t xml:space="preserve">    - Determine missing data points and decide on strategies (e.g., impute, remove).</t>
  </si>
  <si>
    <t>2. Correct Errors and Inconsistencies</t>
  </si>
  <si>
    <t xml:space="preserve">    - Fix incorrect or inconsistent data entries (e.g., typos, formatting issues).</t>
  </si>
  <si>
    <t>3. Remove Duplicates</t>
  </si>
  <si>
    <t xml:space="preserve">    - Eliminate duplicate records to prevent skewing analysis.</t>
  </si>
  <si>
    <t>4. Standardize Data Formats</t>
  </si>
  <si>
    <t xml:space="preserve">    - Ensure consistent formats (e.g., dates, categories).</t>
  </si>
  <si>
    <t>5. Validate Data</t>
  </si>
  <si>
    <t xml:space="preserve">    - Check data against predefined rules or constraints.</t>
  </si>
  <si>
    <t>6. Transform Data (if needed)</t>
  </si>
  <si>
    <t xml:space="preserve">    - Normalize or transform data for analysis (e.g., scaling, encoding).</t>
  </si>
  <si>
    <t>7. Organize and Structure Data</t>
  </si>
  <si>
    <t xml:space="preserve">    - Structure data in a logical format (e.g., tidy data principles).</t>
  </si>
  <si>
    <t>8. Document Changes</t>
  </si>
  <si>
    <t xml:space="preserve">    - Keep track of cleaning steps and changes for reproducibility.</t>
  </si>
  <si>
    <t>9. Verify Data Quality</t>
  </si>
  <si>
    <t xml:space="preserve">    - Review cleaned data for accuracy and completeness.</t>
  </si>
  <si>
    <t xml:space="preserve"> 2. How would you sort the following dataset first by "Department" (A-Z) and then by "Salary" (Largest to Smallest)? Write a step-by-step approach.</t>
  </si>
  <si>
    <t>Employee</t>
  </si>
  <si>
    <t>Department</t>
  </si>
  <si>
    <t>Salary</t>
  </si>
  <si>
    <t>Sonu</t>
  </si>
  <si>
    <t>IT</t>
  </si>
  <si>
    <t>Pranav</t>
  </si>
  <si>
    <t>HR</t>
  </si>
  <si>
    <t>Rahul</t>
  </si>
  <si>
    <t xml:space="preserve">ans. </t>
  </si>
  <si>
    <t>1. Select dataset (A2:C5)</t>
  </si>
  <si>
    <t>2. Go to Data &gt; Sort &amp; Filter &gt; Custom Sort.</t>
  </si>
  <si>
    <t>3. Add Level 1: Sort by "Department" (A-Z).</t>
  </si>
  <si>
    <t>4. Add Level 2: Sort by "Salary" (Largest to Smallest).</t>
  </si>
  <si>
    <t>5. Click OK.</t>
  </si>
  <si>
    <t>3. Explain the use of text functions such as TRIM , LEFT, RIGHT, MID, and CONCAT in data cleaning.</t>
  </si>
  <si>
    <r>
      <t xml:space="preserve">Answer--&gt; Text Functions for Data Cleaning
1. </t>
    </r>
    <r>
      <rPr>
        <sz val="11"/>
        <color theme="1"/>
        <rFont val="Calibri"/>
        <family val="2"/>
        <scheme val="minor"/>
      </rPr>
      <t>TRIM</t>
    </r>
    <r>
      <rPr>
        <sz val="11"/>
        <color rgb="FF0070C0"/>
        <rFont val="Calibri"/>
        <family val="2"/>
        <scheme val="minor"/>
      </rPr>
      <t>: Removes extra spaces from text, making it cleaner and more consistent.
    - Example: TRIM(" Hello World ") → "Hello World"
2.</t>
    </r>
    <r>
      <rPr>
        <sz val="11"/>
        <color theme="1"/>
        <rFont val="Calibri"/>
        <family val="2"/>
        <scheme val="minor"/>
      </rPr>
      <t xml:space="preserve"> LEFT:</t>
    </r>
    <r>
      <rPr>
        <sz val="11"/>
        <color rgb="FF0070C0"/>
        <rFont val="Calibri"/>
        <family val="2"/>
        <scheme val="minor"/>
      </rPr>
      <t xml:space="preserve"> Extracts a specified number of characters from the left side of a string.
    - Example: LEFT("Hello World", 5) → "Hello"
3. </t>
    </r>
    <r>
      <rPr>
        <sz val="11"/>
        <color theme="1"/>
        <rFont val="Calibri"/>
        <family val="2"/>
        <scheme val="minor"/>
      </rPr>
      <t>RIGHT</t>
    </r>
    <r>
      <rPr>
        <sz val="11"/>
        <color rgb="FF0070C0"/>
        <rFont val="Calibri"/>
        <family val="2"/>
        <scheme val="minor"/>
      </rPr>
      <t>: Extracts characters from the right side of a string.
    - Example: RIGHT("Hello World", 5) → "World"
4.</t>
    </r>
    <r>
      <rPr>
        <sz val="11"/>
        <color theme="1"/>
        <rFont val="Calibri"/>
        <family val="2"/>
        <scheme val="minor"/>
      </rPr>
      <t xml:space="preserve"> MID</t>
    </r>
    <r>
      <rPr>
        <sz val="11"/>
        <color rgb="FF0070C0"/>
        <rFont val="Calibri"/>
        <family val="2"/>
        <scheme val="minor"/>
      </rPr>
      <t xml:space="preserve">: Extracts characters from a specific position in a string.
    - Example: MID("Hello World", 7, 5) → "World"
5. </t>
    </r>
    <r>
      <rPr>
        <sz val="11"/>
        <color theme="1"/>
        <rFont val="Calibri"/>
        <family val="2"/>
        <scheme val="minor"/>
      </rPr>
      <t>CONCAT</t>
    </r>
    <r>
      <rPr>
        <sz val="11"/>
        <color rgb="FF0070C0"/>
        <rFont val="Calibri"/>
        <family val="2"/>
        <scheme val="minor"/>
      </rPr>
      <t xml:space="preserve"> (or CONCATENATE): Combines multiple strings into one.
    - Example: CONCAT("Hello", " ", "World") → "Hello World"</t>
    </r>
  </si>
  <si>
    <t>here is all applied formulla</t>
  </si>
  <si>
    <t>Functions</t>
  </si>
  <si>
    <t>values</t>
  </si>
  <si>
    <t>1.Trim</t>
  </si>
  <si>
    <t>2.Left</t>
  </si>
  <si>
    <t>3.Right</t>
  </si>
  <si>
    <t>4.Mid</t>
  </si>
  <si>
    <t>5.Concat</t>
  </si>
  <si>
    <t>4. What is the role of date functions like TODAY in managing datasets?</t>
  </si>
  <si>
    <r>
      <rPr>
        <b/>
        <u/>
        <sz val="11"/>
        <color rgb="FF0070C0"/>
        <rFont val="Calibri"/>
        <family val="2"/>
        <scheme val="minor"/>
      </rPr>
      <t>Answer-</t>
    </r>
    <r>
      <rPr>
        <sz val="11"/>
        <color rgb="FF0070C0"/>
        <rFont val="Calibri"/>
        <family val="2"/>
        <scheme val="minor"/>
      </rPr>
      <t>-&gt;</t>
    </r>
    <r>
      <rPr>
        <sz val="11"/>
        <color theme="1"/>
        <rFont val="Calibri"/>
        <family val="2"/>
        <scheme val="minor"/>
      </rPr>
      <t xml:space="preserve"> The TODAY function is super handy in managing datasets, especially when working with dates.
</t>
    </r>
    <r>
      <rPr>
        <sz val="11"/>
        <color rgb="FF0070C0"/>
        <rFont val="Calibri"/>
        <family val="2"/>
        <scheme val="minor"/>
      </rPr>
      <t xml:space="preserve">
</t>
    </r>
    <r>
      <rPr>
        <b/>
        <u/>
        <sz val="11"/>
        <color rgb="FF0070C0"/>
        <rFont val="Calibri"/>
        <family val="2"/>
        <scheme val="minor"/>
      </rPr>
      <t>Role :</t>
    </r>
    <r>
      <rPr>
        <b/>
        <u/>
        <sz val="11"/>
        <color theme="1"/>
        <rFont val="Calibri"/>
        <family val="2"/>
        <scheme val="minor"/>
      </rPr>
      <t xml:space="preserve"> </t>
    </r>
    <r>
      <rPr>
        <sz val="11"/>
        <color theme="1"/>
        <rFont val="Calibri"/>
        <family val="2"/>
        <scheme val="minor"/>
      </rPr>
      <t>Automatically shows today's date</t>
    </r>
  </si>
  <si>
    <r>
      <rPr>
        <b/>
        <sz val="11"/>
        <color rgb="FF0070C0"/>
        <rFont val="Calibri"/>
        <family val="2"/>
        <scheme val="minor"/>
      </rPr>
      <t>Use:</t>
    </r>
    <r>
      <rPr>
        <sz val="11"/>
        <color theme="1"/>
        <rFont val="Calibri"/>
        <family val="2"/>
        <scheme val="minor"/>
      </rPr>
      <t xml:space="preserve"> Track how old records are, calculate due dates, filter recent data</t>
    </r>
  </si>
  <si>
    <r>
      <t>Example:</t>
    </r>
    <r>
      <rPr>
        <sz val="11"/>
        <color theme="1"/>
        <rFont val="Calibri"/>
        <family val="2"/>
        <scheme val="minor"/>
      </rPr>
      <t xml:space="preserve"> If we'll write =</t>
    </r>
    <r>
      <rPr>
        <b/>
        <sz val="11"/>
        <color theme="1"/>
        <rFont val="Calibri"/>
        <family val="2"/>
        <scheme val="minor"/>
      </rPr>
      <t>TODAY()</t>
    </r>
    <r>
      <rPr>
        <sz val="11"/>
        <color theme="1"/>
        <rFont val="Calibri"/>
        <family val="2"/>
        <scheme val="minor"/>
      </rPr>
      <t xml:space="preserve"> in function tab it will return </t>
    </r>
    <r>
      <rPr>
        <b/>
        <sz val="11"/>
        <color theme="1"/>
        <rFont val="Calibri"/>
        <family val="2"/>
        <scheme val="minor"/>
      </rPr>
      <t xml:space="preserve">07/12/2025 </t>
    </r>
    <r>
      <rPr>
        <sz val="11"/>
        <color theme="1"/>
        <rFont val="Calibri"/>
        <family val="2"/>
        <scheme val="minor"/>
      </rPr>
      <t xml:space="preserve">and </t>
    </r>
    <r>
      <rPr>
        <b/>
        <sz val="11"/>
        <color theme="1"/>
        <rFont val="Calibri"/>
        <family val="2"/>
        <scheme val="minor"/>
      </rPr>
      <t>order date is 01-dec-2025</t>
    </r>
    <r>
      <rPr>
        <sz val="11"/>
        <color theme="1"/>
        <rFont val="Calibri"/>
        <family val="2"/>
        <scheme val="minor"/>
      </rPr>
      <t>, you can calculate it's</t>
    </r>
    <r>
      <rPr>
        <b/>
        <sz val="11"/>
        <color rgb="FF0070C0"/>
        <rFont val="Calibri"/>
        <family val="2"/>
        <scheme val="minor"/>
      </rPr>
      <t xml:space="preserve"> </t>
    </r>
    <r>
      <rPr>
        <b/>
        <sz val="11"/>
        <rFont val="Calibri"/>
        <family val="2"/>
        <scheme val="minor"/>
      </rPr>
      <t>6 days old</t>
    </r>
    <r>
      <rPr>
        <b/>
        <sz val="11"/>
        <color rgb="FF0070C0"/>
        <rFont val="Calibri"/>
        <family val="2"/>
        <scheme val="minor"/>
      </rPr>
      <t>.</t>
    </r>
  </si>
  <si>
    <t>5. Apply Data Validation to restrict Quantity values to only whole numbers between 1 and 10.</t>
  </si>
  <si>
    <t>Customer Name</t>
  </si>
  <si>
    <t>Product Name</t>
  </si>
  <si>
    <t>Category</t>
  </si>
  <si>
    <t>Quantity</t>
  </si>
  <si>
    <t>Unit Price ($)</t>
  </si>
  <si>
    <t>Jane Smith</t>
  </si>
  <si>
    <t>Shoes</t>
  </si>
  <si>
    <t>Electronics</t>
  </si>
  <si>
    <t>Isabella Moore</t>
  </si>
  <si>
    <t>Laptop</t>
  </si>
  <si>
    <t>Daniel Davis</t>
  </si>
  <si>
    <t>Sofa</t>
  </si>
  <si>
    <t>Clothing</t>
  </si>
  <si>
    <t>Alex Moore</t>
  </si>
  <si>
    <t>Michael Johnson</t>
  </si>
  <si>
    <t>Table Lamp</t>
  </si>
  <si>
    <t>Home Decor</t>
  </si>
  <si>
    <t>Daniel Johnson</t>
  </si>
  <si>
    <t>Backpack</t>
  </si>
  <si>
    <t>Isabella Davis</t>
  </si>
  <si>
    <t>Headphones</t>
  </si>
  <si>
    <t>Jane Davis</t>
  </si>
  <si>
    <t>Alex Wilson</t>
  </si>
  <si>
    <t>T-shirt</t>
  </si>
  <si>
    <t>a. Configure an input message that appears when a user selects a cell in the "Quantity" column explaining:_x000B_ "Please enter a whole number between 1 and 10."  -</t>
  </si>
  <si>
    <t>SOLUTION-A</t>
  </si>
  <si>
    <t>b. Set up an error alert message that triggers if the user enters a number less than 1 or greater than 10, showing:_x000B_ "Invalid input! The quantity must be a whole number between 1 and 10."</t>
  </si>
  <si>
    <t>SOLUTION- B</t>
  </si>
  <si>
    <t>6. understand and apply fundamental text functions like LEFT, RIGHT, MID, and LEN.</t>
  </si>
  <si>
    <t>Extract the first 5 characters from the string "ExcelTipsAreGreat" using the LEFT function.</t>
  </si>
  <si>
    <r>
      <t xml:space="preserve">ans. </t>
    </r>
    <r>
      <rPr>
        <sz val="11"/>
        <color rgb="FFFF0000"/>
        <rFont val="Calibri"/>
        <family val="2"/>
        <scheme val="minor"/>
      </rPr>
      <t>=LEFT("ExcelTipsAreGreat",5)</t>
    </r>
  </si>
  <si>
    <t>Extract the last 4 characters from "DataAnalysis.xlsx" using the RIGHT function.</t>
  </si>
  <si>
    <r>
      <t xml:space="preserve">ans. </t>
    </r>
    <r>
      <rPr>
        <sz val="11"/>
        <color rgb="FFFF0000"/>
        <rFont val="Calibri"/>
        <family val="2"/>
        <scheme val="minor"/>
      </rPr>
      <t>=RIGHT("DataAnalysis.xlsx",4)</t>
    </r>
  </si>
  <si>
    <t>Extract the substring "Tips" from "ExcelTipsAreGreat" using the MID function.</t>
  </si>
  <si>
    <r>
      <t xml:space="preserve">ans. </t>
    </r>
    <r>
      <rPr>
        <sz val="11"/>
        <color rgb="FFFF0000"/>
        <rFont val="Calibri"/>
        <family val="2"/>
        <scheme val="minor"/>
      </rPr>
      <t>=MID("ExcelTipsAreGreat",6,4)</t>
    </r>
  </si>
  <si>
    <t>Count the total number of characters in the string "Hello World!" using the LEN function.</t>
  </si>
  <si>
    <r>
      <t xml:space="preserve">ans. </t>
    </r>
    <r>
      <rPr>
        <sz val="11"/>
        <color rgb="FFFF0000"/>
        <rFont val="Calibri"/>
        <family val="2"/>
        <scheme val="minor"/>
      </rPr>
      <t>=LEN("Hello World!")</t>
    </r>
  </si>
  <si>
    <t>Create a formula to extract the middle 6 characters from "12345-67890-ABCDE".</t>
  </si>
  <si>
    <r>
      <t xml:space="preserve">ans. </t>
    </r>
    <r>
      <rPr>
        <sz val="11"/>
        <color rgb="FFFF0000"/>
        <rFont val="Calibri"/>
        <family val="2"/>
        <scheme val="minor"/>
      </rPr>
      <t>=MID("12345-67890-ABCDE",7,6)</t>
    </r>
  </si>
  <si>
    <t>A</t>
  </si>
  <si>
    <t>7. Understand how to combine text using CONCAT, TEXTJOIN, and the &amp; operator.</t>
  </si>
  <si>
    <t>B</t>
  </si>
  <si>
    <t>a. Use CONCAT to combine "Hello" and "World" with a space in between.</t>
  </si>
  <si>
    <t>C</t>
  </si>
  <si>
    <t>formula: =CONCAT(Hello"," ","World")</t>
  </si>
  <si>
    <t>D</t>
  </si>
  <si>
    <t>E</t>
  </si>
  <si>
    <r>
      <t>B</t>
    </r>
    <r>
      <rPr>
        <sz val="11"/>
        <color rgb="FF7030A0"/>
        <rFont val="Calibri"/>
        <family val="2"/>
        <scheme val="minor"/>
      </rPr>
      <t>. Combine "Apple", "Banana", and "Cherry" into a single string separated by commas using TEXTJOIN</t>
    </r>
  </si>
  <si>
    <t>Formula: =TEXTJOIN(",",TRUE,"APPLE","BANANA","CHEERY")</t>
  </si>
  <si>
    <t>C. Use the &amp; operator to create the string "2025: Excel Functions" by combining "2025", ": ", and "Excel Function".</t>
  </si>
  <si>
    <r>
      <rPr>
        <sz val="11"/>
        <color theme="1"/>
        <rFont val="Calibri"/>
        <family val="2"/>
        <scheme val="minor"/>
      </rPr>
      <t>Formula</t>
    </r>
    <r>
      <rPr>
        <sz val="11"/>
        <color rgb="FF7030A0"/>
        <rFont val="Calibri"/>
        <family val="2"/>
        <scheme val="minor"/>
      </rPr>
      <t>: =</t>
    </r>
    <r>
      <rPr>
        <sz val="11"/>
        <color theme="1"/>
        <rFont val="Calibri"/>
        <family val="2"/>
        <scheme val="minor"/>
      </rPr>
      <t>"2025"&amp;":"excel functions"</t>
    </r>
  </si>
  <si>
    <t>d. Create a comma-separated list from the range A1:A5 using TEXTJOIN</t>
  </si>
  <si>
    <t>Formula--&gt; =TEXTJOIN(",",TRUE,A1:A5)</t>
  </si>
  <si>
    <t>E. Combine first names in column A with last names in column B to create full names in column C.</t>
  </si>
  <si>
    <t>answer; for example first name= "reeta", last name="dhande"</t>
  </si>
  <si>
    <t>FIRST NAME</t>
  </si>
  <si>
    <t>LAST NAME</t>
  </si>
  <si>
    <t>FULL NAME</t>
  </si>
  <si>
    <t>full name= reeta dhande</t>
  </si>
  <si>
    <t>REETA</t>
  </si>
  <si>
    <t>DHANDE</t>
  </si>
  <si>
    <t xml:space="preserve">answer in right side--     </t>
  </si>
  <si>
    <t>ABHI</t>
  </si>
  <si>
    <t>PANDE</t>
  </si>
  <si>
    <t>PANKAJ</t>
  </si>
  <si>
    <t>ROY</t>
  </si>
  <si>
    <t>MONA</t>
  </si>
  <si>
    <t>SHARMA</t>
  </si>
  <si>
    <t>8. Understanding TODAY() and NOW()</t>
  </si>
  <si>
    <t>a. What is the difference between TODAY() and NOW() in Excel? Provide an example of when you would use each function.</t>
  </si>
  <si>
    <t>Difference Between TODAY() and NOW()</t>
  </si>
  <si>
    <t>- TODAY(): Returns the current date (no time component).</t>
  </si>
  <si>
    <t>- NOW(): Returns the current date and time.</t>
  </si>
  <si>
    <t>EXAMPLES--&gt; formula =TODAY()-2/5/1996</t>
  </si>
  <si>
    <t>b.. If cell A1 contains the date 2025-06-10, write a formula using TODAY() to determine how many days are left until that date.</t>
  </si>
  <si>
    <r>
      <t xml:space="preserve">formula in any cell: =DATE(2025,6,10)-TODAY() OR IF A1 contains the date: </t>
    </r>
    <r>
      <rPr>
        <b/>
        <sz val="11"/>
        <color theme="1"/>
        <rFont val="Calibri"/>
        <family val="2"/>
        <scheme val="minor"/>
      </rPr>
      <t>=A1-TODAY()</t>
    </r>
  </si>
  <si>
    <r>
      <rPr>
        <sz val="11"/>
        <color rgb="FF7030A0"/>
        <rFont val="Calibri"/>
        <family val="2"/>
        <scheme val="minor"/>
      </rPr>
      <t>c. Write an Excel formula using NOW() to display the current date and time in the format MM/DD/YYYY HH:MM AM/PM.</t>
    </r>
    <r>
      <rPr>
        <sz val="11"/>
        <color theme="1"/>
        <rFont val="Calibri"/>
        <family val="2"/>
        <scheme val="minor"/>
      </rPr>
      <t xml:space="preserve"> ́</t>
    </r>
  </si>
  <si>
    <t>d. If a cell contains =TODAY(), what will happen when the worksheet is reopened the next day? Explain</t>
  </si>
  <si>
    <t>The cell will update to show the current date (i.e., the next day's date).</t>
  </si>
  <si>
    <t>TODAY() is a volatile function that recalculates every time the worksheet is opened or changed, updating to reflect the current date.</t>
  </si>
  <si>
    <t>e. You want to store a static date (today’s date) in a cell without it changing every day. What keyboard shortcut should you use.</t>
  </si>
  <si>
    <r>
      <rPr>
        <b/>
        <sz val="11"/>
        <color theme="1"/>
        <rFont val="Calibri"/>
        <family val="2"/>
        <scheme val="minor"/>
      </rPr>
      <t>Keyboard shortcut</t>
    </r>
    <r>
      <rPr>
        <sz val="11"/>
        <color theme="1"/>
        <rFont val="Calibri"/>
        <family val="2"/>
        <scheme val="minor"/>
      </rPr>
      <t xml:space="preserve">: Press </t>
    </r>
    <r>
      <rPr>
        <b/>
        <sz val="11"/>
        <color theme="1"/>
        <rFont val="Calibri"/>
        <family val="2"/>
        <scheme val="minor"/>
      </rPr>
      <t>Ctrl + ;</t>
    </r>
    <r>
      <rPr>
        <sz val="11"/>
        <color theme="1"/>
        <rFont val="Calibri"/>
        <family val="2"/>
        <scheme val="minor"/>
      </rPr>
      <t xml:space="preserve"> (semicolon)</t>
    </r>
  </si>
  <si>
    <t>This inserts the current date as a static value, not a 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</si>
</sst>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font>
      <sz val="11"/>
      <color theme="1"/>
      <name val="Calibri"/>
      <family val="2"/>
      <scheme val="minor"/>
    </font>
    <font>
      <b/>
      <sz val="11"/>
      <color theme="1"/>
      <name val="Calibri"/>
      <family val="2"/>
      <scheme val="minor"/>
    </font>
    <font>
      <b/>
      <sz val="14"/>
      <color rgb="FFC00000"/>
      <name val="Calibri"/>
      <family val="2"/>
      <scheme val="minor"/>
    </font>
    <font>
      <b/>
      <sz val="11"/>
      <color rgb="FF7030A0"/>
      <name val="Calibri"/>
      <family val="2"/>
      <scheme val="minor"/>
    </font>
    <font>
      <sz val="11"/>
      <color theme="8" tint="-0.499984740745262"/>
      <name val="Calibri"/>
      <family val="2"/>
      <scheme val="minor"/>
    </font>
    <font>
      <b/>
      <sz val="11"/>
      <color rgb="FF0070C0"/>
      <name val="Calibri"/>
      <family val="2"/>
      <scheme val="minor"/>
    </font>
    <font>
      <sz val="11"/>
      <color rgb="FF0070C0"/>
      <name val="Calibri"/>
      <family val="2"/>
      <scheme val="minor"/>
    </font>
    <font>
      <sz val="11"/>
      <color theme="9" tint="-0.499984740745262"/>
      <name val="Calibri"/>
      <family val="2"/>
      <scheme val="minor"/>
    </font>
    <font>
      <b/>
      <sz val="12"/>
      <color rgb="FFC00000"/>
      <name val="Calibri"/>
      <family val="2"/>
      <scheme val="minor"/>
    </font>
    <font>
      <b/>
      <sz val="11"/>
      <color rgb="FFC00000"/>
      <name val="Calibri"/>
      <family val="2"/>
      <scheme val="minor"/>
    </font>
    <font>
      <b/>
      <u/>
      <sz val="11"/>
      <color rgb="FF0070C0"/>
      <name val="Calibri"/>
      <family val="2"/>
      <scheme val="minor"/>
    </font>
    <font>
      <sz val="11"/>
      <color rgb="FF7030A0"/>
      <name val="Calibri"/>
      <family val="2"/>
      <scheme val="minor"/>
    </font>
    <font>
      <sz val="11"/>
      <color rgb="FFFF0000"/>
      <name val="Calibri"/>
      <family val="2"/>
      <scheme val="minor"/>
    </font>
    <font>
      <b/>
      <sz val="11"/>
      <color theme="0"/>
      <name val="Calibri"/>
      <family val="2"/>
      <scheme val="minor"/>
    </font>
    <font>
      <b/>
      <sz val="12"/>
      <color rgb="FFFF0000"/>
      <name val="Calibri"/>
      <family val="2"/>
      <scheme val="minor"/>
    </font>
    <font>
      <b/>
      <u/>
      <sz val="11"/>
      <color theme="1"/>
      <name val="Calibri"/>
      <family val="2"/>
      <scheme val="minor"/>
    </font>
    <font>
      <b/>
      <sz val="11"/>
      <name val="Calibri"/>
      <family val="2"/>
      <scheme val="minor"/>
    </font>
    <font>
      <sz val="11"/>
      <name val="Calibri"/>
      <scheme val="minor"/>
    </font>
    <font>
      <sz val="11"/>
      <name val="Calibri"/>
    </font>
    <font>
      <b/>
      <sz val="12"/>
      <color rgb="FFC00000"/>
      <name val="Calibri"/>
      <family val="2"/>
    </font>
    <font>
      <sz val="12"/>
      <color rgb="FFC00000"/>
      <name val="Calibri"/>
      <family val="2"/>
      <scheme val="minor"/>
    </font>
    <font>
      <sz val="11"/>
      <name val="Calibri"/>
      <family val="2"/>
      <scheme val="minor"/>
    </font>
    <font>
      <b/>
      <sz val="11"/>
      <name val="Calibri"/>
      <family val="2"/>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002060"/>
        <bgColor indexed="64"/>
      </patternFill>
    </fill>
  </fills>
  <borders count="15">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7" fillId="0" borderId="0"/>
  </cellStyleXfs>
  <cellXfs count="43">
    <xf numFmtId="0" fontId="0" fillId="0" borderId="0" xfId="0"/>
    <xf numFmtId="0" fontId="1" fillId="0" borderId="0" xfId="0" applyFont="1"/>
    <xf numFmtId="0" fontId="2" fillId="0" borderId="0" xfId="0" applyFont="1" applyAlignment="1">
      <alignment wrapText="1"/>
    </xf>
    <xf numFmtId="0" fontId="1" fillId="0" borderId="0" xfId="0" applyFont="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6" fillId="0" borderId="0" xfId="0" applyFont="1" applyAlignment="1">
      <alignment wrapText="1"/>
    </xf>
    <xf numFmtId="0" fontId="9" fillId="0" borderId="0" xfId="0" applyFont="1" applyAlignment="1">
      <alignment wrapText="1"/>
    </xf>
    <xf numFmtId="0" fontId="11" fillId="0" borderId="0" xfId="0" applyFont="1" applyAlignment="1">
      <alignment wrapText="1"/>
    </xf>
    <xf numFmtId="14" fontId="0" fillId="0" borderId="0" xfId="0" applyNumberFormat="1"/>
    <xf numFmtId="0" fontId="0" fillId="0" borderId="0" xfId="0" applyAlignment="1">
      <alignment vertical="top"/>
    </xf>
    <xf numFmtId="0" fontId="11" fillId="0" borderId="0" xfId="0" applyFont="1" applyAlignment="1">
      <alignment vertical="top" wrapText="1"/>
    </xf>
    <xf numFmtId="0" fontId="8" fillId="0" borderId="0" xfId="0" applyFont="1" applyAlignment="1">
      <alignment vertical="top"/>
    </xf>
    <xf numFmtId="0" fontId="11" fillId="0" borderId="0" xfId="0" applyFont="1" applyAlignment="1">
      <alignment horizontal="center" wrapText="1"/>
    </xf>
    <xf numFmtId="0" fontId="0" fillId="0" borderId="1" xfId="0" applyBorder="1"/>
    <xf numFmtId="0" fontId="0" fillId="0" borderId="2" xfId="0" applyBorder="1"/>
    <xf numFmtId="0" fontId="0" fillId="0" borderId="3" xfId="0" applyBorder="1"/>
    <xf numFmtId="0" fontId="14" fillId="4" borderId="0" xfId="0" applyFont="1" applyFill="1"/>
    <xf numFmtId="0" fontId="0" fillId="3" borderId="2" xfId="0" applyFill="1" applyBorder="1" applyAlignment="1">
      <alignment vertical="center"/>
    </xf>
    <xf numFmtId="0" fontId="0" fillId="0" borderId="2" xfId="0" applyBorder="1" applyAlignment="1">
      <alignment vertical="center"/>
    </xf>
    <xf numFmtId="0" fontId="13" fillId="2" borderId="4" xfId="0" applyFont="1" applyFill="1" applyBorder="1" applyAlignment="1">
      <alignment vertical="center" wrapText="1"/>
    </xf>
    <xf numFmtId="0" fontId="13" fillId="2" borderId="4" xfId="0" applyFont="1" applyFill="1" applyBorder="1" applyAlignment="1">
      <alignment vertical="center"/>
    </xf>
    <xf numFmtId="0" fontId="0" fillId="0" borderId="5" xfId="0" applyBorder="1" applyAlignment="1">
      <alignment vertical="center"/>
    </xf>
    <xf numFmtId="0" fontId="17" fillId="0" borderId="0" xfId="1"/>
    <xf numFmtId="0" fontId="18" fillId="0" borderId="0" xfId="1" applyFont="1"/>
    <xf numFmtId="0" fontId="19" fillId="0" borderId="0" xfId="1" applyFont="1"/>
    <xf numFmtId="0" fontId="20" fillId="0" borderId="0" xfId="1" applyFont="1"/>
    <xf numFmtId="0" fontId="20" fillId="0" borderId="0" xfId="0" applyFont="1"/>
    <xf numFmtId="0" fontId="21" fillId="0" borderId="0" xfId="1" applyFont="1"/>
    <xf numFmtId="0" fontId="22" fillId="0" borderId="7" xfId="1" applyFont="1" applyBorder="1"/>
    <xf numFmtId="0" fontId="22" fillId="0" borderId="8" xfId="1" applyFont="1" applyBorder="1"/>
    <xf numFmtId="0" fontId="22" fillId="0" borderId="9" xfId="1" applyFont="1" applyBorder="1"/>
    <xf numFmtId="0" fontId="18" fillId="0" borderId="10" xfId="1" applyFont="1" applyBorder="1"/>
    <xf numFmtId="0" fontId="18" fillId="0" borderId="6" xfId="1" applyFont="1" applyBorder="1"/>
    <xf numFmtId="0" fontId="18" fillId="0" borderId="11" xfId="1" applyFont="1" applyBorder="1"/>
    <xf numFmtId="0" fontId="18" fillId="0" borderId="12" xfId="1" applyFont="1" applyBorder="1"/>
    <xf numFmtId="0" fontId="18" fillId="0" borderId="13" xfId="1" applyFont="1" applyBorder="1"/>
    <xf numFmtId="0" fontId="18" fillId="0" borderId="14" xfId="1" applyFont="1" applyBorder="1"/>
    <xf numFmtId="0" fontId="8" fillId="0" borderId="0" xfId="0" applyFont="1" applyAlignment="1">
      <alignment horizontal="center" wrapText="1"/>
    </xf>
  </cellXfs>
  <cellStyles count="2">
    <cellStyle name="Normal" xfId="0" builtinId="0"/>
    <cellStyle name="Normal 2" xfId="1" xr:uid="{0A4F6907-39D9-4A2A-AD81-D74405D99719}"/>
  </cellStyles>
  <dxfs count="13">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val="0"/>
        <i val="0"/>
        <strike val="0"/>
        <condense val="0"/>
        <extend val="0"/>
        <outline val="0"/>
        <shadow val="0"/>
        <u val="none"/>
        <vertAlign val="baseline"/>
        <sz val="11"/>
        <color auto="1"/>
        <name val="Calibri"/>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none"/>
      </font>
    </dxf>
    <dxf>
      <border>
        <bottom style="thin">
          <color indexed="64"/>
        </bottom>
      </border>
    </dxf>
    <dxf>
      <font>
        <b/>
        <i val="0"/>
        <strike val="0"/>
        <condense val="0"/>
        <extend val="0"/>
        <outline val="0"/>
        <shadow val="0"/>
        <u val="none"/>
        <vertAlign val="baseline"/>
        <sz val="11"/>
        <color auto="1"/>
        <name val="Calibri"/>
        <family val="2"/>
        <scheme val="none"/>
      </font>
      <border diagonalUp="0" diagonalDown="0">
        <left style="thin">
          <color indexed="64"/>
        </left>
        <right style="thin">
          <color indexed="64"/>
        </right>
        <top/>
        <bottom/>
        <vertical style="thin">
          <color indexed="64"/>
        </vertical>
        <horizontal style="thin">
          <color indexed="64"/>
        </horizontal>
      </border>
    </dxf>
  </dxfs>
  <tableStyles count="1" defaultTableStyle="TableStyleMedium2" defaultPivotStyle="PivotStyleLight16">
    <tableStyle name="Table Style 1" pivot="0" count="0" xr9:uid="{37FF1AC8-B861-4429-AF08-0CA1478AA70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AAEE3E-BBBA-49E4-A8CB-7EA0FAC6CC5A}" name="Table2" displayName="Table2" ref="A2:C5" totalsRowShown="0">
  <autoFilter ref="A2:C5" xr:uid="{97AAEE3E-BBBA-49E4-A8CB-7EA0FAC6CC5A}"/>
  <sortState xmlns:xlrd2="http://schemas.microsoft.com/office/spreadsheetml/2017/richdata2" ref="A3:C5">
    <sortCondition ref="C3:C5"/>
  </sortState>
  <tableColumns count="3">
    <tableColumn id="1" xr3:uid="{8E1EECC7-C110-4DA9-B6AF-56254B52B877}" name="Employee"/>
    <tableColumn id="2" xr3:uid="{C08136B2-8A11-4AE3-865B-067033B23341}" name="Department"/>
    <tableColumn id="3" xr3:uid="{424358FA-ECD9-4FBF-88A0-FB47BE5EFE2F}" name="Salary"/>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CC5120-A285-47D6-8811-2D37F198BEBD}" name="Table25" displayName="Table25" ref="C8:E11" totalsRowShown="0">
  <autoFilter ref="C8:E11" xr:uid="{6DCC5120-A285-47D6-8811-2D37F198BEBD}"/>
  <sortState xmlns:xlrd2="http://schemas.microsoft.com/office/spreadsheetml/2017/richdata2" ref="C9:E11">
    <sortCondition descending="1" ref="E8:E11"/>
  </sortState>
  <tableColumns count="3">
    <tableColumn id="1" xr3:uid="{9978FCDD-0122-45FD-BA8F-30411E766297}" name="Employee"/>
    <tableColumn id="2" xr3:uid="{9D1BC751-CF09-4F25-AD92-7E27E7215B87}" name="Department"/>
    <tableColumn id="3" xr3:uid="{3CB1E649-DAC3-4A6D-ADE2-834E19C97C13}" name="Salary"/>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42261B-A6E9-4217-8B83-2FB63B3F2470}" name="Table1" displayName="Table1" ref="B3:F12" totalsRowShown="0" headerRowDxfId="12" dataDxfId="10" headerRowBorderDxfId="11" tableBorderDxfId="9" totalsRowBorderDxfId="8" headerRowCellStyle="Normal 2" dataCellStyle="Normal 2">
  <autoFilter ref="B3:F12" xr:uid="{6142261B-A6E9-4217-8B83-2FB63B3F2470}"/>
  <tableColumns count="5">
    <tableColumn id="1" xr3:uid="{77FC2714-CA72-4FCF-8147-789A9FD6F48C}" name="Customer Name" dataDxfId="7" dataCellStyle="Normal 2"/>
    <tableColumn id="2" xr3:uid="{3BDDC58B-C7B9-446C-B7F4-A47202AD8695}" name="Product Name" dataDxfId="6" dataCellStyle="Normal 2"/>
    <tableColumn id="3" xr3:uid="{F4901E63-BC9C-4F04-8C0F-48DDF7569091}" name="Category" dataDxfId="5" dataCellStyle="Normal 2"/>
    <tableColumn id="4" xr3:uid="{994884AE-E0F6-4D52-B79D-D7B62E757B0D}" name="Quantity" dataDxfId="4" dataCellStyle="Normal 2"/>
    <tableColumn id="5" xr3:uid="{1A249BDE-A852-4CE6-88C1-B5D687B48CE3}" name="Unit Price ($)" dataDxfId="3"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42BE62D-5605-4F18-B109-C6806DA9B665}" name="Table5" displayName="Table5" ref="C16:E20" totalsRowShown="0" headerRowBorderDxfId="2" tableBorderDxfId="1" totalsRowBorderDxfId="0">
  <autoFilter ref="C16:E20" xr:uid="{142BE62D-5605-4F18-B109-C6806DA9B665}"/>
  <tableColumns count="3">
    <tableColumn id="1" xr3:uid="{DF928164-0A4F-4DA9-821C-1680539835F7}" name="FIRST NAME"/>
    <tableColumn id="2" xr3:uid="{68CE4D17-9510-4CBD-97BF-D7F5504F8E88}" name="LAST NAME"/>
    <tableColumn id="3" xr3:uid="{A19B1E3B-42D6-474A-91E4-1F4FD3CD34C7}" name="FULL NAME">
      <calculatedColumnFormula>C17&amp;" "&amp;D17</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E74F0-32A7-4F54-83A8-113F88601943}">
  <dimension ref="A1:A47"/>
  <sheetViews>
    <sheetView topLeftCell="A25" workbookViewId="0">
      <selection activeCell="A49" sqref="A49"/>
    </sheetView>
  </sheetViews>
  <sheetFormatPr defaultRowHeight="14.4"/>
  <cols>
    <col min="1" max="1" width="53.33203125" customWidth="1"/>
  </cols>
  <sheetData>
    <row r="1" spans="1:1" ht="36">
      <c r="A1" s="2" t="s">
        <v>0</v>
      </c>
    </row>
    <row r="2" spans="1:1" ht="100.8">
      <c r="A2" s="7" t="s">
        <v>1</v>
      </c>
    </row>
    <row r="3" spans="1:1">
      <c r="A3" s="1" t="s">
        <v>2</v>
      </c>
    </row>
    <row r="4" spans="1:1" ht="28.8">
      <c r="A4" s="4" t="s">
        <v>3</v>
      </c>
    </row>
    <row r="5" spans="1:1" ht="28.8">
      <c r="A5" s="4" t="s">
        <v>4</v>
      </c>
    </row>
    <row r="6" spans="1:1" ht="28.8">
      <c r="A6" s="4" t="s">
        <v>5</v>
      </c>
    </row>
    <row r="7" spans="1:1" ht="28.8">
      <c r="A7" s="4" t="s">
        <v>6</v>
      </c>
    </row>
    <row r="8" spans="1:1">
      <c r="A8" t="s">
        <v>7</v>
      </c>
    </row>
    <row r="10" spans="1:1" ht="28.8">
      <c r="A10" s="5" t="s">
        <v>8</v>
      </c>
    </row>
    <row r="11" spans="1:1" ht="28.8">
      <c r="A11" s="4" t="s">
        <v>9</v>
      </c>
    </row>
    <row r="12" spans="1:1">
      <c r="A12" s="4"/>
    </row>
    <row r="13" spans="1:1">
      <c r="A13" s="3" t="s">
        <v>10</v>
      </c>
    </row>
    <row r="14" spans="1:1" ht="28.8">
      <c r="A14" s="4" t="s">
        <v>11</v>
      </c>
    </row>
    <row r="15" spans="1:1" ht="43.2">
      <c r="A15" s="4" t="s">
        <v>12</v>
      </c>
    </row>
    <row r="16" spans="1:1" ht="28.8">
      <c r="A16" s="4" t="s">
        <v>13</v>
      </c>
    </row>
    <row r="17" spans="1:1" ht="28.8">
      <c r="A17" s="4" t="s">
        <v>14</v>
      </c>
    </row>
    <row r="18" spans="1:1" ht="28.8">
      <c r="A18" s="4" t="s">
        <v>15</v>
      </c>
    </row>
    <row r="19" spans="1:1" ht="28.8">
      <c r="A19" s="4" t="s">
        <v>16</v>
      </c>
    </row>
    <row r="20" spans="1:1" ht="28.8">
      <c r="A20" s="4" t="s">
        <v>17</v>
      </c>
    </row>
    <row r="21" spans="1:1" ht="28.8">
      <c r="A21" s="4" t="s">
        <v>18</v>
      </c>
    </row>
    <row r="22" spans="1:1">
      <c r="A22" s="4"/>
    </row>
    <row r="23" spans="1:1">
      <c r="A23" s="3" t="s">
        <v>19</v>
      </c>
    </row>
    <row r="24" spans="1:1" ht="28.8">
      <c r="A24" s="6" t="s">
        <v>20</v>
      </c>
    </row>
    <row r="25" spans="1:1" ht="28.8">
      <c r="A25" s="6" t="s">
        <v>21</v>
      </c>
    </row>
    <row r="26" spans="1:1" ht="28.8">
      <c r="A26" s="6" t="s">
        <v>22</v>
      </c>
    </row>
    <row r="27" spans="1:1">
      <c r="A27" s="4"/>
    </row>
    <row r="28" spans="1:1" ht="28.8">
      <c r="A28" s="5" t="s">
        <v>23</v>
      </c>
    </row>
    <row r="29" spans="1:1">
      <c r="A29" s="8" t="s">
        <v>24</v>
      </c>
    </row>
    <row r="30" spans="1:1">
      <c r="A30" s="4" t="s">
        <v>25</v>
      </c>
    </row>
    <row r="31" spans="1:1" ht="28.8">
      <c r="A31" s="4" t="s">
        <v>26</v>
      </c>
    </row>
    <row r="32" spans="1:1">
      <c r="A32" s="4" t="s">
        <v>27</v>
      </c>
    </row>
    <row r="33" spans="1:1" ht="28.8">
      <c r="A33" s="4" t="s">
        <v>28</v>
      </c>
    </row>
    <row r="34" spans="1:1">
      <c r="A34" s="4" t="s">
        <v>29</v>
      </c>
    </row>
    <row r="35" spans="1:1">
      <c r="A35" s="4" t="s">
        <v>30</v>
      </c>
    </row>
    <row r="36" spans="1:1">
      <c r="A36" s="4" t="s">
        <v>31</v>
      </c>
    </row>
    <row r="37" spans="1:1">
      <c r="A37" s="4" t="s">
        <v>32</v>
      </c>
    </row>
    <row r="38" spans="1:1">
      <c r="A38" s="4" t="s">
        <v>33</v>
      </c>
    </row>
    <row r="39" spans="1:1">
      <c r="A39" s="4" t="s">
        <v>34</v>
      </c>
    </row>
    <row r="40" spans="1:1">
      <c r="A40" s="4" t="s">
        <v>35</v>
      </c>
    </row>
    <row r="41" spans="1:1" ht="28.8">
      <c r="A41" s="4" t="s">
        <v>36</v>
      </c>
    </row>
    <row r="42" spans="1:1">
      <c r="A42" s="4" t="s">
        <v>37</v>
      </c>
    </row>
    <row r="43" spans="1:1">
      <c r="A43" s="4" t="s">
        <v>38</v>
      </c>
    </row>
    <row r="44" spans="1:1">
      <c r="A44" s="4" t="s">
        <v>39</v>
      </c>
    </row>
    <row r="45" spans="1:1" ht="28.8">
      <c r="A45" s="4" t="s">
        <v>40</v>
      </c>
    </row>
    <row r="46" spans="1:1">
      <c r="A46" s="4" t="s">
        <v>41</v>
      </c>
    </row>
    <row r="47" spans="1:1">
      <c r="A47" s="4" t="s">
        <v>42</v>
      </c>
    </row>
  </sheetData>
  <autoFilter ref="A28:A47" xr:uid="{E58E74F0-32A7-4F54-83A8-113F88601943}"/>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E7F39-E81C-41A4-9144-301FB8C9017F}">
  <dimension ref="A1:G12"/>
  <sheetViews>
    <sheetView workbookViewId="0">
      <selection activeCell="B15" sqref="B15"/>
    </sheetView>
  </sheetViews>
  <sheetFormatPr defaultRowHeight="14.4"/>
  <cols>
    <col min="1" max="1" width="26.109375" customWidth="1"/>
    <col min="2" max="2" width="15.33203125" customWidth="1"/>
    <col min="3" max="3" width="14.33203125" customWidth="1"/>
    <col min="4" max="4" width="12.5546875" customWidth="1"/>
    <col min="5" max="5" width="14.33203125" customWidth="1"/>
    <col min="7" max="7" width="39.6640625" customWidth="1"/>
  </cols>
  <sheetData>
    <row r="1" spans="1:7" ht="29.4" customHeight="1">
      <c r="A1" s="42" t="s">
        <v>43</v>
      </c>
      <c r="B1" s="42"/>
      <c r="C1" s="42"/>
      <c r="D1" s="42"/>
      <c r="E1" s="42"/>
      <c r="F1" s="42"/>
      <c r="G1" s="42"/>
    </row>
    <row r="2" spans="1:7">
      <c r="A2" t="s">
        <v>44</v>
      </c>
      <c r="B2" t="s">
        <v>45</v>
      </c>
      <c r="C2" t="s">
        <v>46</v>
      </c>
    </row>
    <row r="3" spans="1:7">
      <c r="A3" t="s">
        <v>47</v>
      </c>
      <c r="B3" t="s">
        <v>48</v>
      </c>
      <c r="C3">
        <v>4000</v>
      </c>
    </row>
    <row r="4" spans="1:7">
      <c r="A4" t="s">
        <v>49</v>
      </c>
      <c r="B4" t="s">
        <v>50</v>
      </c>
      <c r="C4">
        <v>5000</v>
      </c>
    </row>
    <row r="5" spans="1:7">
      <c r="A5" t="s">
        <v>51</v>
      </c>
      <c r="B5" t="s">
        <v>48</v>
      </c>
      <c r="C5">
        <v>2500</v>
      </c>
    </row>
    <row r="7" spans="1:7">
      <c r="A7" t="s">
        <v>52</v>
      </c>
    </row>
    <row r="8" spans="1:7">
      <c r="A8" s="4" t="s">
        <v>53</v>
      </c>
      <c r="C8" t="s">
        <v>44</v>
      </c>
      <c r="D8" t="s">
        <v>45</v>
      </c>
      <c r="E8" t="s">
        <v>46</v>
      </c>
    </row>
    <row r="9" spans="1:7" ht="28.8">
      <c r="A9" s="4" t="s">
        <v>54</v>
      </c>
      <c r="C9" t="s">
        <v>49</v>
      </c>
      <c r="D9" t="s">
        <v>50</v>
      </c>
      <c r="E9">
        <v>5000</v>
      </c>
    </row>
    <row r="10" spans="1:7" ht="28.8">
      <c r="A10" s="4" t="s">
        <v>55</v>
      </c>
      <c r="C10" t="s">
        <v>47</v>
      </c>
      <c r="D10" t="s">
        <v>48</v>
      </c>
      <c r="E10">
        <v>4000</v>
      </c>
    </row>
    <row r="11" spans="1:7" ht="28.8">
      <c r="A11" s="4" t="s">
        <v>56</v>
      </c>
      <c r="C11" t="s">
        <v>51</v>
      </c>
      <c r="D11" t="s">
        <v>48</v>
      </c>
      <c r="E11">
        <v>2500</v>
      </c>
    </row>
    <row r="12" spans="1:7">
      <c r="A12" s="4" t="s">
        <v>57</v>
      </c>
    </row>
  </sheetData>
  <mergeCells count="1">
    <mergeCell ref="A1:G1"/>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DFE3F-06A4-4AA1-A96F-A0C1C88FC188}">
  <dimension ref="A1:C15"/>
  <sheetViews>
    <sheetView tabSelected="1" workbookViewId="0">
      <selection activeCell="A4" sqref="A4"/>
    </sheetView>
  </sheetViews>
  <sheetFormatPr defaultRowHeight="14.4"/>
  <cols>
    <col min="1" max="1" width="47.109375" customWidth="1"/>
    <col min="2" max="2" width="17.88671875" customWidth="1"/>
    <col min="3" max="3" width="19" customWidth="1"/>
  </cols>
  <sheetData>
    <row r="1" spans="1:3" ht="37.200000000000003" customHeight="1">
      <c r="A1" s="9" t="s">
        <v>58</v>
      </c>
    </row>
    <row r="2" spans="1:3" ht="244.8">
      <c r="A2" s="10" t="s">
        <v>59</v>
      </c>
    </row>
    <row r="3" spans="1:3" ht="15.6">
      <c r="A3" s="10"/>
      <c r="B3" s="21" t="s">
        <v>60</v>
      </c>
      <c r="C3" s="21"/>
    </row>
    <row r="4" spans="1:3">
      <c r="A4" s="1"/>
      <c r="B4" s="1" t="s">
        <v>61</v>
      </c>
      <c r="C4" s="1" t="s">
        <v>62</v>
      </c>
    </row>
    <row r="5" spans="1:3">
      <c r="A5" s="1"/>
      <c r="B5" s="1" t="s">
        <v>63</v>
      </c>
      <c r="C5" t="str">
        <f>TRIM("Hello World")</f>
        <v>Hello World</v>
      </c>
    </row>
    <row r="6" spans="1:3">
      <c r="A6" s="1"/>
      <c r="B6" s="1" t="s">
        <v>64</v>
      </c>
      <c r="C6" t="str">
        <f>LEFT("Hello World",5)</f>
        <v>Hello</v>
      </c>
    </row>
    <row r="7" spans="1:3">
      <c r="A7" s="1"/>
      <c r="B7" s="1" t="s">
        <v>65</v>
      </c>
      <c r="C7" t="str">
        <f>RIGHT("Hello World",5)</f>
        <v>World</v>
      </c>
    </row>
    <row r="8" spans="1:3">
      <c r="A8" s="1"/>
      <c r="B8" s="1" t="s">
        <v>66</v>
      </c>
      <c r="C8" t="str">
        <f>MID("Hello World",7,5)</f>
        <v>World</v>
      </c>
    </row>
    <row r="9" spans="1:3">
      <c r="A9" s="1"/>
      <c r="B9" s="1" t="s">
        <v>67</v>
      </c>
      <c r="C9" t="str">
        <f>_xlfn.CONCAT("Hello"," ","World")</f>
        <v>Hello World</v>
      </c>
    </row>
    <row r="10" spans="1:3">
      <c r="A10" s="1"/>
    </row>
    <row r="11" spans="1:3">
      <c r="A11" s="1"/>
    </row>
    <row r="12" spans="1:3">
      <c r="A12" s="1"/>
    </row>
    <row r="13" spans="1:3">
      <c r="A13" s="1"/>
    </row>
    <row r="14" spans="1:3">
      <c r="A14" s="1"/>
    </row>
    <row r="15" spans="1:3">
      <c r="A15" s="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3FE77-A589-40A5-B31D-3E9814C3F1FD}">
  <dimension ref="A1:A4"/>
  <sheetViews>
    <sheetView workbookViewId="0">
      <selection activeCell="A2" sqref="A2"/>
    </sheetView>
  </sheetViews>
  <sheetFormatPr defaultRowHeight="14.4"/>
  <cols>
    <col min="1" max="1" width="52.44140625" customWidth="1"/>
  </cols>
  <sheetData>
    <row r="1" spans="1:1" ht="31.2">
      <c r="A1" s="9" t="s">
        <v>68</v>
      </c>
    </row>
    <row r="2" spans="1:1" ht="57.6">
      <c r="A2" s="7" t="s">
        <v>69</v>
      </c>
    </row>
    <row r="3" spans="1:1">
      <c r="A3" t="s">
        <v>70</v>
      </c>
    </row>
    <row r="4" spans="1:1" ht="43.2">
      <c r="A4" s="7" t="s">
        <v>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6CC34-C6C6-4285-B459-FC0E23205E7E}">
  <dimension ref="A1:H41"/>
  <sheetViews>
    <sheetView workbookViewId="0">
      <selection activeCell="J7" sqref="J7"/>
    </sheetView>
  </sheetViews>
  <sheetFormatPr defaultRowHeight="14.4"/>
  <cols>
    <col min="2" max="2" width="16.44140625" customWidth="1"/>
    <col min="3" max="3" width="15" customWidth="1"/>
    <col min="4" max="4" width="11.44140625" customWidth="1"/>
    <col min="5" max="5" width="10.33203125" customWidth="1"/>
    <col min="6" max="6" width="13.6640625" customWidth="1"/>
  </cols>
  <sheetData>
    <row r="1" spans="1:8" ht="15.6">
      <c r="A1" s="29" t="s">
        <v>72</v>
      </c>
      <c r="B1" s="30"/>
      <c r="C1" s="30"/>
      <c r="D1" s="30"/>
      <c r="E1" s="30"/>
      <c r="F1" s="30"/>
      <c r="G1" s="31"/>
      <c r="H1" s="31"/>
    </row>
    <row r="2" spans="1:8">
      <c r="A2" s="27"/>
      <c r="B2" s="27"/>
      <c r="C2" s="27"/>
      <c r="D2" s="27"/>
      <c r="E2" s="27"/>
      <c r="F2" s="27"/>
    </row>
    <row r="3" spans="1:8">
      <c r="A3" s="32"/>
      <c r="B3" s="33" t="s">
        <v>73</v>
      </c>
      <c r="C3" s="34" t="s">
        <v>74</v>
      </c>
      <c r="D3" s="34" t="s">
        <v>75</v>
      </c>
      <c r="E3" s="34" t="s">
        <v>76</v>
      </c>
      <c r="F3" s="35" t="s">
        <v>77</v>
      </c>
    </row>
    <row r="4" spans="1:8">
      <c r="A4" s="32"/>
      <c r="B4" s="36" t="s">
        <v>78</v>
      </c>
      <c r="C4" s="37" t="s">
        <v>79</v>
      </c>
      <c r="D4" s="37" t="s">
        <v>80</v>
      </c>
      <c r="E4" s="37"/>
      <c r="F4" s="38">
        <v>81</v>
      </c>
    </row>
    <row r="5" spans="1:8">
      <c r="A5" s="32"/>
      <c r="B5" s="36" t="s">
        <v>81</v>
      </c>
      <c r="C5" s="37" t="s">
        <v>82</v>
      </c>
      <c r="D5" s="37" t="s">
        <v>80</v>
      </c>
      <c r="E5" s="37"/>
      <c r="F5" s="38">
        <v>121</v>
      </c>
    </row>
    <row r="6" spans="1:8">
      <c r="A6" s="32"/>
      <c r="B6" s="36" t="s">
        <v>83</v>
      </c>
      <c r="C6" s="37" t="s">
        <v>84</v>
      </c>
      <c r="D6" s="37" t="s">
        <v>85</v>
      </c>
      <c r="E6" s="37"/>
      <c r="F6" s="38">
        <v>239</v>
      </c>
    </row>
    <row r="7" spans="1:8">
      <c r="A7" s="32"/>
      <c r="B7" s="36" t="s">
        <v>86</v>
      </c>
      <c r="C7" s="37" t="s">
        <v>79</v>
      </c>
      <c r="D7" s="37" t="s">
        <v>80</v>
      </c>
      <c r="E7" s="37"/>
      <c r="F7" s="38">
        <v>500</v>
      </c>
    </row>
    <row r="8" spans="1:8">
      <c r="A8" s="32"/>
      <c r="B8" s="36" t="s">
        <v>87</v>
      </c>
      <c r="C8" s="37" t="s">
        <v>88</v>
      </c>
      <c r="D8" s="37" t="s">
        <v>89</v>
      </c>
      <c r="E8" s="37"/>
      <c r="F8" s="38">
        <v>423</v>
      </c>
    </row>
    <row r="9" spans="1:8">
      <c r="A9" s="32"/>
      <c r="B9" s="36" t="s">
        <v>90</v>
      </c>
      <c r="C9" s="37" t="s">
        <v>91</v>
      </c>
      <c r="D9" s="37" t="s">
        <v>80</v>
      </c>
      <c r="E9" s="37"/>
      <c r="F9" s="38">
        <v>160</v>
      </c>
    </row>
    <row r="10" spans="1:8">
      <c r="A10" s="32"/>
      <c r="B10" s="36" t="s">
        <v>92</v>
      </c>
      <c r="C10" s="37" t="s">
        <v>93</v>
      </c>
      <c r="D10" s="37" t="s">
        <v>80</v>
      </c>
      <c r="E10" s="37"/>
      <c r="F10" s="38">
        <v>348</v>
      </c>
    </row>
    <row r="11" spans="1:8">
      <c r="A11" s="32"/>
      <c r="B11" s="36" t="s">
        <v>94</v>
      </c>
      <c r="C11" s="37" t="s">
        <v>93</v>
      </c>
      <c r="D11" s="37" t="s">
        <v>80</v>
      </c>
      <c r="E11" s="37"/>
      <c r="F11" s="38">
        <v>152</v>
      </c>
    </row>
    <row r="12" spans="1:8">
      <c r="A12" s="32"/>
      <c r="B12" s="39" t="s">
        <v>95</v>
      </c>
      <c r="C12" s="40" t="s">
        <v>96</v>
      </c>
      <c r="D12" s="40" t="s">
        <v>89</v>
      </c>
      <c r="E12" s="40"/>
      <c r="F12" s="41">
        <v>369</v>
      </c>
    </row>
    <row r="13" spans="1:8">
      <c r="A13" s="32"/>
      <c r="B13" s="27"/>
      <c r="C13" s="27"/>
      <c r="D13" s="27"/>
      <c r="E13" s="27"/>
      <c r="F13" s="27"/>
    </row>
    <row r="14" spans="1:8">
      <c r="A14" s="27"/>
      <c r="B14" s="27"/>
      <c r="C14" s="27"/>
      <c r="D14" s="27"/>
      <c r="E14" s="27"/>
      <c r="F14" s="27"/>
    </row>
    <row r="15" spans="1:8">
      <c r="A15" s="32" t="s">
        <v>97</v>
      </c>
      <c r="B15" s="27"/>
      <c r="C15" s="27"/>
      <c r="D15" s="27"/>
      <c r="E15" s="27"/>
      <c r="F15" s="27"/>
    </row>
    <row r="16" spans="1:8">
      <c r="A16" s="27" t="s">
        <v>98</v>
      </c>
      <c r="B16" s="27"/>
      <c r="C16" s="27"/>
      <c r="D16" s="27"/>
      <c r="E16" s="27"/>
      <c r="F16" s="27"/>
    </row>
    <row r="17" spans="1:6">
      <c r="A17" s="27"/>
      <c r="B17" s="28" t="s">
        <v>73</v>
      </c>
      <c r="C17" s="28" t="s">
        <v>74</v>
      </c>
      <c r="D17" s="28" t="s">
        <v>75</v>
      </c>
      <c r="E17" s="28" t="s">
        <v>76</v>
      </c>
      <c r="F17" s="28" t="s">
        <v>77</v>
      </c>
    </row>
    <row r="18" spans="1:6">
      <c r="A18" s="27"/>
      <c r="B18" s="28" t="s">
        <v>78</v>
      </c>
      <c r="C18" s="28" t="s">
        <v>79</v>
      </c>
      <c r="D18" s="28" t="s">
        <v>80</v>
      </c>
      <c r="E18" s="28">
        <v>2</v>
      </c>
      <c r="F18" s="28">
        <v>81</v>
      </c>
    </row>
    <row r="19" spans="1:6">
      <c r="A19" s="27"/>
      <c r="B19" s="28" t="s">
        <v>81</v>
      </c>
      <c r="C19" s="28" t="s">
        <v>82</v>
      </c>
      <c r="D19" s="28" t="s">
        <v>80</v>
      </c>
      <c r="E19" s="28">
        <v>5</v>
      </c>
      <c r="F19" s="28">
        <v>121</v>
      </c>
    </row>
    <row r="20" spans="1:6">
      <c r="A20" s="27"/>
      <c r="B20" s="28" t="s">
        <v>83</v>
      </c>
      <c r="C20" s="28" t="s">
        <v>84</v>
      </c>
      <c r="D20" s="28" t="s">
        <v>85</v>
      </c>
      <c r="E20" s="28">
        <v>6</v>
      </c>
      <c r="F20" s="28">
        <v>239</v>
      </c>
    </row>
    <row r="21" spans="1:6">
      <c r="A21" s="27"/>
      <c r="B21" s="28" t="s">
        <v>86</v>
      </c>
      <c r="C21" s="28" t="s">
        <v>79</v>
      </c>
      <c r="D21" s="28" t="s">
        <v>80</v>
      </c>
      <c r="E21" s="28">
        <v>4</v>
      </c>
      <c r="F21" s="28">
        <v>500</v>
      </c>
    </row>
    <row r="22" spans="1:6">
      <c r="A22" s="27"/>
      <c r="B22" s="28" t="s">
        <v>87</v>
      </c>
      <c r="C22" s="28" t="s">
        <v>88</v>
      </c>
      <c r="D22" s="28" t="s">
        <v>89</v>
      </c>
      <c r="E22" s="28">
        <v>8</v>
      </c>
      <c r="F22" s="28">
        <v>423</v>
      </c>
    </row>
    <row r="23" spans="1:6">
      <c r="A23" s="27"/>
      <c r="B23" s="28" t="s">
        <v>90</v>
      </c>
      <c r="C23" s="28" t="s">
        <v>91</v>
      </c>
      <c r="D23" s="28" t="s">
        <v>80</v>
      </c>
      <c r="E23" s="28">
        <v>7</v>
      </c>
      <c r="F23" s="28">
        <v>160</v>
      </c>
    </row>
    <row r="24" spans="1:6">
      <c r="A24" s="27"/>
      <c r="B24" s="28" t="s">
        <v>92</v>
      </c>
      <c r="C24" s="28" t="s">
        <v>93</v>
      </c>
      <c r="D24" s="28" t="s">
        <v>80</v>
      </c>
      <c r="E24" s="28">
        <v>9</v>
      </c>
      <c r="F24" s="28">
        <v>348</v>
      </c>
    </row>
    <row r="25" spans="1:6">
      <c r="A25" s="27"/>
      <c r="B25" s="28" t="s">
        <v>94</v>
      </c>
      <c r="C25" s="28" t="s">
        <v>93</v>
      </c>
      <c r="D25" s="28" t="s">
        <v>80</v>
      </c>
      <c r="E25" s="28">
        <v>3</v>
      </c>
      <c r="F25" s="28">
        <v>152</v>
      </c>
    </row>
    <row r="26" spans="1:6">
      <c r="A26" s="27"/>
      <c r="B26" s="28" t="s">
        <v>95</v>
      </c>
      <c r="C26" s="28" t="s">
        <v>96</v>
      </c>
      <c r="D26" s="28" t="s">
        <v>89</v>
      </c>
      <c r="E26" s="28">
        <v>4</v>
      </c>
      <c r="F26" s="28">
        <v>369</v>
      </c>
    </row>
    <row r="27" spans="1:6">
      <c r="A27" s="27"/>
      <c r="B27" s="27"/>
      <c r="C27" s="27"/>
      <c r="D27" s="27"/>
      <c r="E27" s="27"/>
      <c r="F27" s="27"/>
    </row>
    <row r="28" spans="1:6">
      <c r="A28" s="27"/>
      <c r="B28" s="27"/>
      <c r="C28" s="27"/>
      <c r="D28" s="27"/>
      <c r="E28" s="27"/>
      <c r="F28" s="27"/>
    </row>
    <row r="29" spans="1:6">
      <c r="A29" s="32" t="s">
        <v>99</v>
      </c>
      <c r="B29" s="27"/>
      <c r="C29" s="27"/>
      <c r="D29" s="27"/>
      <c r="E29" s="27"/>
      <c r="F29" s="27"/>
    </row>
    <row r="30" spans="1:6">
      <c r="A30" s="32" t="s">
        <v>100</v>
      </c>
      <c r="B30" s="27"/>
      <c r="C30" s="27"/>
      <c r="D30" s="27"/>
      <c r="E30" s="27"/>
      <c r="F30" s="27"/>
    </row>
    <row r="31" spans="1:6">
      <c r="A31" s="27"/>
      <c r="B31" s="28" t="s">
        <v>73</v>
      </c>
      <c r="C31" s="28" t="s">
        <v>74</v>
      </c>
      <c r="D31" s="28" t="s">
        <v>75</v>
      </c>
      <c r="E31" s="28" t="s">
        <v>76</v>
      </c>
      <c r="F31" s="28" t="s">
        <v>77</v>
      </c>
    </row>
    <row r="32" spans="1:6">
      <c r="A32" s="27"/>
      <c r="B32" s="28" t="s">
        <v>78</v>
      </c>
      <c r="C32" s="28" t="s">
        <v>79</v>
      </c>
      <c r="D32" s="28" t="s">
        <v>80</v>
      </c>
      <c r="E32" s="28">
        <v>4</v>
      </c>
      <c r="F32" s="28">
        <v>81</v>
      </c>
    </row>
    <row r="33" spans="1:6">
      <c r="A33" s="27"/>
      <c r="B33" s="28" t="s">
        <v>81</v>
      </c>
      <c r="C33" s="28" t="s">
        <v>82</v>
      </c>
      <c r="D33" s="28" t="s">
        <v>80</v>
      </c>
      <c r="E33" s="28">
        <v>5</v>
      </c>
      <c r="F33" s="28">
        <v>121</v>
      </c>
    </row>
    <row r="34" spans="1:6">
      <c r="A34" s="27"/>
      <c r="B34" s="28" t="s">
        <v>83</v>
      </c>
      <c r="C34" s="28" t="s">
        <v>84</v>
      </c>
      <c r="D34" s="28" t="s">
        <v>85</v>
      </c>
      <c r="E34" s="28">
        <v>6</v>
      </c>
      <c r="F34" s="28">
        <v>239</v>
      </c>
    </row>
    <row r="35" spans="1:6">
      <c r="A35" s="27"/>
      <c r="B35" s="28" t="s">
        <v>86</v>
      </c>
      <c r="C35" s="28" t="s">
        <v>79</v>
      </c>
      <c r="D35" s="28" t="s">
        <v>80</v>
      </c>
      <c r="E35" s="28">
        <v>4</v>
      </c>
      <c r="F35" s="28">
        <v>500</v>
      </c>
    </row>
    <row r="36" spans="1:6">
      <c r="A36" s="27"/>
      <c r="B36" s="28" t="s">
        <v>87</v>
      </c>
      <c r="C36" s="28" t="s">
        <v>88</v>
      </c>
      <c r="D36" s="28" t="s">
        <v>89</v>
      </c>
      <c r="E36" s="28">
        <v>8</v>
      </c>
      <c r="F36" s="28">
        <v>423</v>
      </c>
    </row>
    <row r="37" spans="1:6">
      <c r="A37" s="27"/>
      <c r="B37" s="28" t="s">
        <v>90</v>
      </c>
      <c r="C37" s="28" t="s">
        <v>91</v>
      </c>
      <c r="D37" s="28" t="s">
        <v>80</v>
      </c>
      <c r="E37" s="28">
        <v>8</v>
      </c>
      <c r="F37" s="28">
        <v>160</v>
      </c>
    </row>
    <row r="38" spans="1:6">
      <c r="A38" s="27"/>
      <c r="B38" s="28" t="s">
        <v>92</v>
      </c>
      <c r="C38" s="28" t="s">
        <v>93</v>
      </c>
      <c r="D38" s="28" t="s">
        <v>80</v>
      </c>
      <c r="E38" s="28">
        <v>9</v>
      </c>
      <c r="F38" s="28">
        <v>348</v>
      </c>
    </row>
    <row r="39" spans="1:6">
      <c r="B39" s="28" t="s">
        <v>94</v>
      </c>
      <c r="C39" s="28" t="s">
        <v>93</v>
      </c>
      <c r="D39" s="28" t="s">
        <v>80</v>
      </c>
      <c r="E39" s="28">
        <v>3</v>
      </c>
      <c r="F39" s="28">
        <v>152</v>
      </c>
    </row>
    <row r="40" spans="1:6">
      <c r="B40" s="28" t="s">
        <v>95</v>
      </c>
      <c r="C40" s="28" t="s">
        <v>96</v>
      </c>
      <c r="D40" s="28" t="s">
        <v>89</v>
      </c>
      <c r="E40" s="28">
        <v>1</v>
      </c>
      <c r="F40" s="28">
        <v>369</v>
      </c>
    </row>
    <row r="41" spans="1:6">
      <c r="B41" s="27"/>
      <c r="C41" s="27"/>
      <c r="D41" s="27"/>
      <c r="E41" s="27"/>
      <c r="F41" s="27"/>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90AAD-4B74-4459-9F52-1FB7D190B3C4}">
  <dimension ref="A1:A20"/>
  <sheetViews>
    <sheetView topLeftCell="A16" workbookViewId="0">
      <selection activeCell="A4" sqref="A4"/>
    </sheetView>
  </sheetViews>
  <sheetFormatPr defaultRowHeight="14.4"/>
  <cols>
    <col min="1" max="1" width="59.6640625" customWidth="1"/>
  </cols>
  <sheetData>
    <row r="1" spans="1:1" ht="28.8">
      <c r="A1" s="11" t="s">
        <v>101</v>
      </c>
    </row>
    <row r="2" spans="1:1" ht="28.8">
      <c r="A2" s="12" t="s">
        <v>102</v>
      </c>
    </row>
    <row r="3" spans="1:1">
      <c r="A3" t="s">
        <v>103</v>
      </c>
    </row>
    <row r="4" spans="1:1">
      <c r="A4" t="str">
        <f>LEFT("ExcelTipsAreGreat", 5)</f>
        <v>Excel</v>
      </c>
    </row>
    <row r="6" spans="1:1" ht="28.8">
      <c r="A6" s="12" t="s">
        <v>104</v>
      </c>
    </row>
    <row r="7" spans="1:1">
      <c r="A7" t="s">
        <v>105</v>
      </c>
    </row>
    <row r="8" spans="1:1">
      <c r="A8" t="str">
        <f>RIGHT("DataAnalysis.xlsx", 4)</f>
        <v>xlsx</v>
      </c>
    </row>
    <row r="10" spans="1:1" ht="28.8">
      <c r="A10" s="12" t="s">
        <v>106</v>
      </c>
    </row>
    <row r="11" spans="1:1">
      <c r="A11" t="s">
        <v>107</v>
      </c>
    </row>
    <row r="12" spans="1:1">
      <c r="A12" t="str">
        <f>MID("ExcelTipsAreGreat", 6, 4)</f>
        <v>Tips</v>
      </c>
    </row>
    <row r="14" spans="1:1" ht="28.8">
      <c r="A14" s="12" t="s">
        <v>108</v>
      </c>
    </row>
    <row r="15" spans="1:1">
      <c r="A15" t="s">
        <v>109</v>
      </c>
    </row>
    <row r="16" spans="1:1">
      <c r="A16">
        <f>LEN("Hello World!")</f>
        <v>12</v>
      </c>
    </row>
    <row r="18" spans="1:1" ht="28.8">
      <c r="A18" s="12" t="s">
        <v>110</v>
      </c>
    </row>
    <row r="19" spans="1:1">
      <c r="A19" t="s">
        <v>111</v>
      </c>
    </row>
    <row r="20" spans="1:1">
      <c r="A20" t="str">
        <f>MID("12345-67890-ABCDE", 7, 6)</f>
        <v>67890-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A7453-C2BD-49E7-961C-0EC98D73926F}">
  <dimension ref="A1:I37"/>
  <sheetViews>
    <sheetView topLeftCell="A7" workbookViewId="0">
      <selection activeCell="B14" sqref="B14"/>
    </sheetView>
  </sheetViews>
  <sheetFormatPr defaultRowHeight="14.4"/>
  <cols>
    <col min="2" max="2" width="52.44140625" customWidth="1"/>
    <col min="3" max="3" width="13.33203125" customWidth="1"/>
    <col min="4" max="4" width="12.88671875" customWidth="1"/>
    <col min="5" max="5" width="19.33203125" customWidth="1"/>
    <col min="6" max="6" width="15.5546875" customWidth="1"/>
    <col min="7" max="7" width="74.109375" customWidth="1"/>
  </cols>
  <sheetData>
    <row r="1" spans="1:8" ht="31.2">
      <c r="A1" t="s">
        <v>112</v>
      </c>
      <c r="B1" s="9" t="s">
        <v>113</v>
      </c>
      <c r="G1" s="16"/>
    </row>
    <row r="2" spans="1:8" ht="28.8">
      <c r="A2" t="s">
        <v>114</v>
      </c>
      <c r="B2" s="12" t="s">
        <v>115</v>
      </c>
      <c r="G2" s="16"/>
    </row>
    <row r="3" spans="1:8" ht="15.6">
      <c r="A3" t="s">
        <v>116</v>
      </c>
      <c r="B3" t="s">
        <v>117</v>
      </c>
      <c r="G3" s="16"/>
    </row>
    <row r="4" spans="1:8" ht="15.6">
      <c r="A4" t="s">
        <v>118</v>
      </c>
      <c r="B4" t="str">
        <f>_xlfn.CONCAT("HELLO"," ","WORLD")</f>
        <v>HELLO WORLD</v>
      </c>
      <c r="G4" s="16"/>
    </row>
    <row r="5" spans="1:8" ht="28.8">
      <c r="A5" t="s">
        <v>119</v>
      </c>
      <c r="B5" s="4" t="s">
        <v>120</v>
      </c>
      <c r="G5" s="16"/>
    </row>
    <row r="6" spans="1:8" ht="15.6">
      <c r="B6" t="s">
        <v>121</v>
      </c>
      <c r="G6" s="16"/>
    </row>
    <row r="7" spans="1:8" ht="15.6">
      <c r="B7" t="str">
        <f>_xlfn.TEXTJOIN(",",TRUE,"APPLE","BANANA","CHEERY")</f>
        <v>APPLE,BANANA,CHEERY</v>
      </c>
      <c r="G7" s="16"/>
    </row>
    <row r="8" spans="1:8" ht="28.8">
      <c r="B8" s="12" t="s">
        <v>122</v>
      </c>
      <c r="G8" s="16"/>
    </row>
    <row r="9" spans="1:8" ht="15.6">
      <c r="B9" s="12" t="s">
        <v>123</v>
      </c>
      <c r="G9" s="16"/>
    </row>
    <row r="10" spans="1:8" ht="15.6">
      <c r="B10" t="str">
        <f>"2025" &amp; ": " &amp; "Excel Functions"</f>
        <v>2025: Excel Functions</v>
      </c>
      <c r="G10" s="16"/>
    </row>
    <row r="11" spans="1:8" ht="15.6">
      <c r="G11" s="16"/>
    </row>
    <row r="12" spans="1:8" ht="28.8">
      <c r="B12" s="12" t="s">
        <v>124</v>
      </c>
      <c r="G12" s="16"/>
      <c r="H12" s="4"/>
    </row>
    <row r="13" spans="1:8" ht="15.6">
      <c r="B13" s="4" t="s">
        <v>125</v>
      </c>
      <c r="G13" s="16"/>
    </row>
    <row r="14" spans="1:8" ht="15.6">
      <c r="B14" s="4" t="str">
        <f>_xlfn.TEXTJOIN(",",TRUE,A1:A5)</f>
        <v>A,B,C,D,E</v>
      </c>
      <c r="G14" s="16"/>
    </row>
    <row r="15" spans="1:8" ht="28.8">
      <c r="B15" s="17" t="s">
        <v>126</v>
      </c>
      <c r="G15" s="16"/>
    </row>
    <row r="16" spans="1:8" ht="15.6">
      <c r="B16" s="4" t="s">
        <v>127</v>
      </c>
      <c r="C16" s="24" t="s">
        <v>128</v>
      </c>
      <c r="D16" s="25" t="s">
        <v>129</v>
      </c>
      <c r="E16" s="25" t="s">
        <v>130</v>
      </c>
      <c r="G16" s="16"/>
    </row>
    <row r="17" spans="2:7" ht="15.6">
      <c r="B17" s="4" t="s">
        <v>131</v>
      </c>
      <c r="C17" s="22" t="s">
        <v>132</v>
      </c>
      <c r="D17" s="22" t="s">
        <v>133</v>
      </c>
      <c r="E17" s="22" t="str">
        <f>C17&amp;" "&amp;D17</f>
        <v>REETA DHANDE</v>
      </c>
      <c r="G17" s="16"/>
    </row>
    <row r="18" spans="2:7" ht="15.6">
      <c r="B18" s="4" t="s">
        <v>134</v>
      </c>
      <c r="C18" s="23" t="s">
        <v>135</v>
      </c>
      <c r="D18" s="23" t="s">
        <v>136</v>
      </c>
      <c r="E18" s="23" t="str">
        <f t="shared" ref="E18:E20" si="0">C18&amp;" "&amp;D18</f>
        <v>ABHI PANDE</v>
      </c>
      <c r="G18" s="16"/>
    </row>
    <row r="19" spans="2:7" ht="15.6">
      <c r="B19" s="4"/>
      <c r="C19" s="22" t="s">
        <v>137</v>
      </c>
      <c r="D19" s="22" t="s">
        <v>138</v>
      </c>
      <c r="E19" s="22" t="str">
        <f t="shared" si="0"/>
        <v>PANKAJ ROY</v>
      </c>
      <c r="G19" s="16"/>
    </row>
    <row r="20" spans="2:7" ht="23.4" customHeight="1">
      <c r="B20" s="4"/>
      <c r="C20" s="26" t="s">
        <v>139</v>
      </c>
      <c r="D20" s="26" t="s">
        <v>140</v>
      </c>
      <c r="E20" s="26" t="str">
        <f t="shared" si="0"/>
        <v>MONA SHARMA</v>
      </c>
      <c r="G20" s="16"/>
    </row>
    <row r="21" spans="2:7" ht="15.6">
      <c r="B21" s="4"/>
      <c r="G21" s="16"/>
    </row>
    <row r="22" spans="2:7" ht="15.6">
      <c r="B22" s="4"/>
      <c r="G22" s="16"/>
    </row>
    <row r="23" spans="2:7" ht="15.6">
      <c r="G23" s="16"/>
    </row>
    <row r="24" spans="2:7" ht="15.6">
      <c r="G24" s="16"/>
    </row>
    <row r="25" spans="2:7" ht="15.6">
      <c r="G25" s="16"/>
    </row>
    <row r="26" spans="2:7">
      <c r="G26" s="12"/>
    </row>
    <row r="27" spans="2:7">
      <c r="G27" s="4"/>
    </row>
    <row r="28" spans="2:7">
      <c r="G28" s="4"/>
    </row>
    <row r="29" spans="2:7">
      <c r="G29" s="4"/>
    </row>
    <row r="31" spans="2:7">
      <c r="G31" s="12"/>
    </row>
    <row r="34" spans="7:9">
      <c r="H34" s="19"/>
      <c r="I34" s="20"/>
    </row>
    <row r="37" spans="7:9">
      <c r="G37" s="18"/>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456A7-A293-46FE-A85C-55427453FA40}">
  <dimension ref="A1:B25"/>
  <sheetViews>
    <sheetView workbookViewId="0">
      <selection activeCell="E2" sqref="E2"/>
    </sheetView>
  </sheetViews>
  <sheetFormatPr defaultRowHeight="14.4"/>
  <cols>
    <col min="1" max="1" width="13.33203125" customWidth="1"/>
    <col min="2" max="2" width="73.6640625" customWidth="1"/>
  </cols>
  <sheetData>
    <row r="1" spans="1:2" ht="15.6">
      <c r="A1" s="13">
        <v>45818</v>
      </c>
      <c r="B1" s="16" t="s">
        <v>141</v>
      </c>
    </row>
    <row r="2" spans="1:2" ht="28.8">
      <c r="B2" s="12" t="s">
        <v>142</v>
      </c>
    </row>
    <row r="3" spans="1:2">
      <c r="B3" t="s">
        <v>143</v>
      </c>
    </row>
    <row r="4" spans="1:2">
      <c r="B4" t="s">
        <v>144</v>
      </c>
    </row>
    <row r="5" spans="1:2">
      <c r="B5" s="14" t="s">
        <v>145</v>
      </c>
    </row>
    <row r="6" spans="1:2">
      <c r="B6" t="s">
        <v>146</v>
      </c>
    </row>
    <row r="7" spans="1:2">
      <c r="B7">
        <f ca="1">TODAY()-2/5/1996</f>
        <v>46006.999799599202</v>
      </c>
    </row>
    <row r="8" spans="1:2">
      <c r="B8" s="13"/>
    </row>
    <row r="10" spans="1:2" ht="28.8">
      <c r="B10" s="15" t="s">
        <v>147</v>
      </c>
    </row>
    <row r="11" spans="1:2">
      <c r="B11" t="s">
        <v>148</v>
      </c>
    </row>
    <row r="12" spans="1:2">
      <c r="B12">
        <f ca="1">A1-TODAY()</f>
        <v>-189</v>
      </c>
    </row>
    <row r="14" spans="1:2" ht="28.8">
      <c r="B14" s="4" t="s">
        <v>149</v>
      </c>
    </row>
    <row r="15" spans="1:2">
      <c r="B15" t="str">
        <f ca="1">TEXT(NOW(), "MM/DD/YYYY HH:MM AM/PM")</f>
        <v>12/16/2025 09:56 PM</v>
      </c>
    </row>
    <row r="17" spans="2:2" ht="28.8">
      <c r="B17" s="12" t="s">
        <v>150</v>
      </c>
    </row>
    <row r="18" spans="2:2">
      <c r="B18" s="4" t="s">
        <v>151</v>
      </c>
    </row>
    <row r="19" spans="2:2">
      <c r="B19" s="4"/>
    </row>
    <row r="20" spans="2:2">
      <c r="B20" s="4"/>
    </row>
    <row r="21" spans="2:2" ht="28.8">
      <c r="B21" s="4" t="s">
        <v>152</v>
      </c>
    </row>
    <row r="23" spans="2:2" ht="28.8">
      <c r="B23" s="12" t="s">
        <v>153</v>
      </c>
    </row>
    <row r="24" spans="2:2">
      <c r="B24" t="s">
        <v>154</v>
      </c>
    </row>
    <row r="25" spans="2:2">
      <c r="B25"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Question1</vt:lpstr>
      <vt:lpstr>Question 2</vt:lpstr>
      <vt:lpstr>Question3 </vt:lpstr>
      <vt:lpstr>Question4</vt:lpstr>
      <vt:lpstr>Question5</vt:lpstr>
      <vt:lpstr>Question6</vt:lpstr>
      <vt:lpstr>Question7</vt:lpstr>
      <vt:lpstr>Question8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reeta dhande</dc:creator>
  <cp:keywords/>
  <dc:description/>
  <cp:lastModifiedBy>reeta dhande</cp:lastModifiedBy>
  <cp:revision/>
  <dcterms:created xsi:type="dcterms:W3CDTF">2025-12-12T06:06:59Z</dcterms:created>
  <dcterms:modified xsi:type="dcterms:W3CDTF">2025-12-16T16:29:15Z</dcterms:modified>
  <cp:category/>
  <cp:contentStatus/>
</cp:coreProperties>
</file>